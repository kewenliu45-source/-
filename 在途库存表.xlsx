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绵阳办事处出库单" sheetId="1" r:id="rId1"/>
  </sheets>
  <definedNames>
    <definedName name="_xlnm._FilterDatabase" localSheetId="0" hidden="1">绵阳办事处出库单!$6:$21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<sst xmlns="http://schemas.openxmlformats.org/spreadsheetml/2006/main" count="69" uniqueCount="43">
  <si>
    <t>江苏苏美达国际时尚服饰有限公司</t>
  </si>
  <si>
    <r>
      <rPr>
        <b/>
        <sz val="18"/>
        <rFont val="楷体_GB2312"/>
        <charset val="134"/>
      </rPr>
      <t xml:space="preserve">       ——伊顿纪德成品</t>
    </r>
    <r>
      <rPr>
        <b/>
        <sz val="18"/>
        <color indexed="10"/>
        <rFont val="楷体_GB2312"/>
        <charset val="134"/>
      </rPr>
      <t>出</t>
    </r>
    <r>
      <rPr>
        <b/>
        <sz val="18"/>
        <rFont val="楷体_GB2312"/>
        <charset val="134"/>
      </rPr>
      <t>库单</t>
    </r>
  </si>
  <si>
    <t xml:space="preserve">              代理商（学校）:绵阳办事处</t>
  </si>
  <si>
    <t>申领时间：</t>
  </si>
  <si>
    <t xml:space="preserve">   U8订单号：XS260600002168  XS260600002171 XS260600002176</t>
  </si>
  <si>
    <t>K</t>
  </si>
  <si>
    <t>货号/尺码</t>
  </si>
  <si>
    <t>130T</t>
  </si>
  <si>
    <t>150T</t>
  </si>
  <si>
    <t>160T</t>
  </si>
  <si>
    <t>165T</t>
  </si>
  <si>
    <t>175T</t>
  </si>
  <si>
    <t>合计</t>
  </si>
  <si>
    <t>中/小学/幼儿园</t>
  </si>
  <si>
    <t>吊牌价</t>
  </si>
  <si>
    <t>备注</t>
  </si>
  <si>
    <t>单价</t>
  </si>
  <si>
    <t>金额</t>
  </si>
  <si>
    <t>TCIB4NR00001</t>
  </si>
  <si>
    <t>小学</t>
  </si>
  <si>
    <t>聚星幼稚园大货</t>
  </si>
  <si>
    <t>16Y0010000X</t>
  </si>
  <si>
    <t>英才招标样衣</t>
  </si>
  <si>
    <t>24Y0310000X</t>
  </si>
  <si>
    <t>16Y0800000X</t>
  </si>
  <si>
    <t>15Y0870000X</t>
  </si>
  <si>
    <t>校服通零售</t>
  </si>
  <si>
    <t>H24Y0100000X</t>
  </si>
  <si>
    <t>向阳桥小学样衣</t>
  </si>
  <si>
    <t>10C10100000</t>
  </si>
  <si>
    <t>银都初中年级服</t>
  </si>
  <si>
    <t>16K10500000</t>
  </si>
  <si>
    <t>12C00100000</t>
  </si>
  <si>
    <t>14Q20500000</t>
  </si>
  <si>
    <t>25C20100000</t>
  </si>
  <si>
    <t>12C11600000</t>
  </si>
  <si>
    <t>15C10100000</t>
  </si>
  <si>
    <t>15K15900000</t>
  </si>
  <si>
    <t>15Z10200000</t>
  </si>
  <si>
    <t>物流方式：</t>
  </si>
  <si>
    <t>出库事由:</t>
  </si>
  <si>
    <t xml:space="preserve">  收件人：  任小琴    13350941281</t>
  </si>
  <si>
    <t xml:space="preserve">  地址：四川省绵阳市涪城区元通路花岩寺旁韦奇摄影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</si>
</sst>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 \¥* #,##0.00_ ;_ \¥* \-#,##0.00_ ;_ \¥* &quot;-&quot;??_ ;_ @_ "/>
    <numFmt numFmtId="177" formatCode="\¥#,##0.00_);\(\¥#,##0.00\)"/>
    <numFmt numFmtId="178" formatCode="0.00_);[Red]\(0.00\)"/>
    <numFmt numFmtId="179" formatCode="\¥#,##0.00_);[Red]\(\¥#,##0.00\)"/>
  </numFmts>
  <fonts count="3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name val="宋体"/>
      <charset val="134"/>
    </font>
    <font>
      <b/>
      <sz val="22"/>
      <name val="楷体_GB2312"/>
      <charset val="134"/>
    </font>
    <font>
      <b/>
      <sz val="18"/>
      <name val="楷体_GB2312"/>
      <charset val="134"/>
    </font>
    <font>
      <sz val="12"/>
      <name val="宋体"/>
      <charset val="134"/>
    </font>
    <font>
      <b/>
      <sz val="14"/>
      <name val="宋体"/>
      <charset val="134"/>
    </font>
    <font>
      <sz val="12"/>
      <color indexed="10"/>
      <name val="宋体"/>
      <charset val="134"/>
    </font>
    <font>
      <b/>
      <sz val="12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2"/>
      <color indexed="10"/>
      <name val="宋体"/>
      <charset val="134"/>
    </font>
    <font>
      <sz val="9"/>
      <color rgb="FF000000"/>
      <name val="宋体"/>
      <charset val="1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8"/>
      <name val="宋体"/>
      <charset val="134"/>
    </font>
    <font>
      <b/>
      <sz val="18"/>
      <color indexed="10"/>
      <name val="楷体_GB2312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8" applyNumberFormat="0" applyAlignment="0" applyProtection="0">
      <alignment vertical="center"/>
    </xf>
    <xf numFmtId="0" fontId="24" fillId="7" borderId="9" applyNumberFormat="0" applyAlignment="0" applyProtection="0">
      <alignment vertical="center"/>
    </xf>
    <xf numFmtId="0" fontId="25" fillId="7" borderId="8" applyNumberFormat="0" applyAlignment="0" applyProtection="0">
      <alignment vertical="center"/>
    </xf>
    <xf numFmtId="0" fontId="26" fillId="8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4" fillId="0" borderId="0"/>
    <xf numFmtId="0" fontId="0" fillId="0" borderId="0">
      <alignment vertical="center"/>
    </xf>
    <xf numFmtId="0" fontId="35" fillId="0" borderId="3"/>
  </cellStyleXfs>
  <cellXfs count="67">
    <xf numFmtId="0" fontId="0" fillId="0" borderId="0" xfId="0">
      <alignment vertical="center"/>
    </xf>
    <xf numFmtId="0" fontId="0" fillId="2" borderId="0" xfId="0" applyFill="1" applyAlignment="1"/>
    <xf numFmtId="0" fontId="1" fillId="2" borderId="0" xfId="0" applyFont="1" applyFill="1" applyAlignment="1"/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177" fontId="0" fillId="2" borderId="0" xfId="0" applyNumberFormat="1" applyFill="1">
      <alignment vertical="center"/>
    </xf>
    <xf numFmtId="178" fontId="0" fillId="2" borderId="0" xfId="0" applyNumberForma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/>
    <xf numFmtId="177" fontId="0" fillId="2" borderId="0" xfId="0" applyNumberFormat="1" applyFill="1" applyAlignment="1"/>
    <xf numFmtId="0" fontId="0" fillId="2" borderId="0" xfId="0" applyFill="1" applyAlignment="1">
      <alignment horizontal="center"/>
    </xf>
    <xf numFmtId="178" fontId="0" fillId="2" borderId="0" xfId="0" applyNumberFormat="1" applyFill="1" applyAlignment="1">
      <alignment horizontal="center"/>
    </xf>
    <xf numFmtId="0" fontId="4" fillId="2" borderId="0" xfId="0" applyFont="1" applyFill="1" applyAlignment="1"/>
    <xf numFmtId="0" fontId="5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>
      <alignment vertical="center"/>
    </xf>
    <xf numFmtId="0" fontId="7" fillId="2" borderId="0" xfId="0" applyFont="1" applyFill="1" applyAlignment="1">
      <alignment wrapText="1"/>
    </xf>
    <xf numFmtId="0" fontId="0" fillId="2" borderId="1" xfId="0" applyFont="1" applyFill="1" applyBorder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1" fillId="2" borderId="0" xfId="0" applyFont="1" applyFill="1">
      <alignment vertical="center"/>
    </xf>
    <xf numFmtId="0" fontId="2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176" fontId="10" fillId="2" borderId="2" xfId="2" applyFont="1" applyFill="1" applyBorder="1" applyAlignment="1">
      <alignment horizontal="center" vertical="center" wrapText="1"/>
    </xf>
    <xf numFmtId="177" fontId="10" fillId="2" borderId="2" xfId="2" applyNumberFormat="1" applyFont="1" applyFill="1" applyBorder="1" applyAlignment="1">
      <alignment horizontal="center" vertical="center"/>
    </xf>
    <xf numFmtId="178" fontId="10" fillId="2" borderId="2" xfId="2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176" fontId="10" fillId="3" borderId="3" xfId="2" applyFont="1" applyFill="1" applyBorder="1" applyAlignment="1">
      <alignment horizontal="center" vertical="center" wrapText="1"/>
    </xf>
    <xf numFmtId="177" fontId="10" fillId="3" borderId="3" xfId="2" applyNumberFormat="1" applyFont="1" applyFill="1" applyBorder="1" applyAlignment="1">
      <alignment horizontal="center" vertical="center"/>
    </xf>
    <xf numFmtId="178" fontId="1" fillId="3" borderId="3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176" fontId="10" fillId="4" borderId="3" xfId="2" applyFont="1" applyFill="1" applyBorder="1" applyAlignment="1">
      <alignment horizontal="center" vertical="center" wrapText="1"/>
    </xf>
    <xf numFmtId="177" fontId="10" fillId="4" borderId="3" xfId="2" applyNumberFormat="1" applyFont="1" applyFill="1" applyBorder="1" applyAlignment="1">
      <alignment horizontal="center" vertical="center"/>
    </xf>
    <xf numFmtId="178" fontId="1" fillId="4" borderId="3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76" fontId="10" fillId="2" borderId="3" xfId="2" applyFont="1" applyFill="1" applyBorder="1" applyAlignment="1">
      <alignment horizontal="center" vertical="center" wrapText="1"/>
    </xf>
    <xf numFmtId="177" fontId="10" fillId="2" borderId="3" xfId="2" applyNumberFormat="1" applyFont="1" applyFill="1" applyBorder="1" applyAlignment="1">
      <alignment horizontal="center" vertical="center"/>
    </xf>
    <xf numFmtId="178" fontId="1" fillId="2" borderId="3" xfId="0" applyNumberFormat="1" applyFont="1" applyFill="1" applyBorder="1" applyAlignment="1">
      <alignment horizontal="center"/>
    </xf>
    <xf numFmtId="49" fontId="12" fillId="2" borderId="3" xfId="0" applyNumberFormat="1" applyFont="1" applyFill="1" applyBorder="1" applyAlignment="1">
      <alignment horizontal="center" vertical="center" wrapText="1"/>
    </xf>
    <xf numFmtId="179" fontId="1" fillId="2" borderId="3" xfId="0" applyNumberFormat="1" applyFont="1" applyFill="1" applyBorder="1" applyAlignment="1">
      <alignment horizontal="center"/>
    </xf>
    <xf numFmtId="176" fontId="13" fillId="2" borderId="3" xfId="2" applyFont="1" applyFill="1" applyBorder="1" applyAlignment="1">
      <alignment horizontal="center" vertical="center" wrapText="1"/>
    </xf>
    <xf numFmtId="178" fontId="8" fillId="2" borderId="3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/>
    <xf numFmtId="0" fontId="0" fillId="2" borderId="0" xfId="0" applyFill="1" applyAlignment="1">
      <alignment wrapText="1"/>
    </xf>
    <xf numFmtId="0" fontId="14" fillId="2" borderId="0" xfId="0" applyFont="1" applyFill="1" applyAlignment="1">
      <alignment horizontal="center"/>
    </xf>
    <xf numFmtId="0" fontId="14" fillId="2" borderId="0" xfId="0" applyFont="1" applyFill="1" applyAlignment="1"/>
    <xf numFmtId="177" fontId="0" fillId="2" borderId="0" xfId="0" applyNumberFormat="1" applyFill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10" fillId="2" borderId="0" xfId="0" applyFont="1" applyFill="1" applyAlignment="1"/>
    <xf numFmtId="0" fontId="2" fillId="2" borderId="0" xfId="0" applyFont="1" applyFill="1" applyAlignment="1">
      <alignment horizontal="left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2" xfId="50"/>
    <cellStyle name="常规 7" xf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1190625</xdr:colOff>
      <xdr:row>25</xdr:row>
      <xdr:rowOff>57150</xdr:rowOff>
    </xdr:from>
    <xdr:to>
      <xdr:col>8</xdr:col>
      <xdr:colOff>0</xdr:colOff>
      <xdr:row>25</xdr:row>
      <xdr:rowOff>57150</xdr:rowOff>
    </xdr:to>
    <xdr:sp>
      <xdr:nvSpPr>
        <xdr:cNvPr id="11" name="Line 16"/>
        <xdr:cNvSpPr>
          <a:spLocks noChangeShapeType="1"/>
        </xdr:cNvSpPr>
      </xdr:nvSpPr>
      <xdr:spPr>
        <a:xfrm flipV="1">
          <a:off x="1190625" y="7492365"/>
          <a:ext cx="31400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1123950</xdr:colOff>
      <xdr:row>23</xdr:row>
      <xdr:rowOff>47625</xdr:rowOff>
    </xdr:from>
    <xdr:to>
      <xdr:col>2</xdr:col>
      <xdr:colOff>0</xdr:colOff>
      <xdr:row>23</xdr:row>
      <xdr:rowOff>47625</xdr:rowOff>
    </xdr:to>
    <xdr:sp>
      <xdr:nvSpPr>
        <xdr:cNvPr id="12" name="Line 16"/>
        <xdr:cNvSpPr>
          <a:spLocks noChangeShapeType="1"/>
        </xdr:cNvSpPr>
      </xdr:nvSpPr>
      <xdr:spPr>
        <a:xfrm flipV="1">
          <a:off x="1123950" y="7086600"/>
          <a:ext cx="11938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1190625</xdr:colOff>
      <xdr:row>24</xdr:row>
      <xdr:rowOff>57150</xdr:rowOff>
    </xdr:from>
    <xdr:to>
      <xdr:col>8</xdr:col>
      <xdr:colOff>0</xdr:colOff>
      <xdr:row>24</xdr:row>
      <xdr:rowOff>57150</xdr:rowOff>
    </xdr:to>
    <xdr:sp>
      <xdr:nvSpPr>
        <xdr:cNvPr id="14" name="Line 16"/>
        <xdr:cNvSpPr>
          <a:spLocks noChangeShapeType="1"/>
        </xdr:cNvSpPr>
      </xdr:nvSpPr>
      <xdr:spPr>
        <a:xfrm flipV="1">
          <a:off x="1190625" y="7294245"/>
          <a:ext cx="31400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</xdr:col>
      <xdr:colOff>1123950</xdr:colOff>
      <xdr:row>22</xdr:row>
      <xdr:rowOff>47625</xdr:rowOff>
    </xdr:from>
    <xdr:to>
      <xdr:col>2</xdr:col>
      <xdr:colOff>0</xdr:colOff>
      <xdr:row>22</xdr:row>
      <xdr:rowOff>47625</xdr:rowOff>
    </xdr:to>
    <xdr:sp>
      <xdr:nvSpPr>
        <xdr:cNvPr id="15" name="Line 16"/>
        <xdr:cNvSpPr>
          <a:spLocks noChangeShapeType="1"/>
        </xdr:cNvSpPr>
      </xdr:nvSpPr>
      <xdr:spPr>
        <a:xfrm flipV="1">
          <a:off x="1123950" y="6903720"/>
          <a:ext cx="11938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1061983</xdr:colOff>
      <xdr:row>2</xdr:row>
      <xdr:rowOff>133461</xdr:rowOff>
    </xdr:to>
    <xdr:pic>
      <xdr:nvPicPr>
        <xdr:cNvPr id="16" name="图片 15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0"/>
          <a:ext cx="1061720" cy="1009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FD29"/>
  <sheetViews>
    <sheetView tabSelected="1" zoomScale="87" zoomScaleNormal="87" workbookViewId="0">
      <pane ySplit="5" topLeftCell="A6" activePane="bottomLeft" state="frozen"/>
      <selection/>
      <selection pane="bottomLeft" activeCell="G6" sqref="G6"/>
    </sheetView>
  </sheetViews>
  <sheetFormatPr defaultColWidth="9" defaultRowHeight="14.4"/>
  <cols>
    <col min="1" max="1" width="10.5" style="3" hidden="1" customWidth="1"/>
    <col min="2" max="2" width="18.1296296296296" style="4" customWidth="1"/>
    <col min="3" max="4" width="7.5" style="3" customWidth="1"/>
    <col min="5" max="7" width="7.37962962962963" style="3" customWidth="1"/>
    <col min="8" max="9" width="7.87962962962963" style="3" customWidth="1"/>
    <col min="10" max="10" width="7.62962962962963" style="3" customWidth="1"/>
    <col min="11" max="12" width="6.5" style="3" customWidth="1"/>
    <col min="13" max="14" width="6.75" style="3" customWidth="1"/>
    <col min="15" max="15" width="7.5" style="3" hidden="1" customWidth="1"/>
    <col min="16" max="16" width="8.37962962962963" style="3" hidden="1" customWidth="1"/>
    <col min="17" max="17" width="8.5" style="3" hidden="1" customWidth="1"/>
    <col min="18" max="18" width="7.75" style="4" hidden="1" customWidth="1"/>
    <col min="19" max="19" width="7.87962962962963" style="3" hidden="1" customWidth="1"/>
    <col min="20" max="20" width="16" style="3" customWidth="1"/>
    <col min="21" max="21" width="10.6296296296296" style="5" customWidth="1"/>
    <col min="22" max="22" width="13" style="4" customWidth="1"/>
    <col min="23" max="23" width="28.212962962963" style="3" customWidth="1"/>
    <col min="24" max="24" width="13.25" style="4" customWidth="1"/>
    <col min="25" max="25" width="14.25" style="6" customWidth="1"/>
    <col min="26" max="26" width="9" style="3"/>
    <col min="27" max="27" width="11.8796296296296" style="3" customWidth="1"/>
    <col min="28" max="16384" width="9" style="3"/>
  </cols>
  <sheetData>
    <row r="1" s="1" customFormat="1" ht="33.75" customHeight="1" spans="1:25 16377:16384">
      <c r="B1" s="7"/>
      <c r="C1" s="8"/>
      <c r="D1" s="8"/>
      <c r="E1" s="9" t="s">
        <v>0</v>
      </c>
      <c r="F1" s="9"/>
      <c r="G1" s="9"/>
      <c r="H1" s="9"/>
      <c r="I1" s="9"/>
      <c r="J1" s="9"/>
      <c r="K1" s="9"/>
      <c r="L1" s="9"/>
      <c r="M1" s="9"/>
      <c r="N1" s="9"/>
      <c r="R1" s="4"/>
      <c r="U1" s="10"/>
      <c r="V1" s="11"/>
      <c r="X1" s="11"/>
      <c r="Y1" s="12"/>
    </row>
    <row r="2" s="1" customFormat="1" ht="35.25" customHeight="1" spans="1:25 16377:16384">
      <c r="B2" s="7"/>
      <c r="C2" s="8"/>
      <c r="D2" s="8"/>
      <c r="E2" s="13" t="s">
        <v>1</v>
      </c>
      <c r="F2" s="13"/>
      <c r="G2" s="13"/>
      <c r="H2" s="13"/>
      <c r="I2" s="13"/>
      <c r="J2" s="13"/>
      <c r="K2" s="13"/>
      <c r="L2" s="13"/>
      <c r="M2" s="13"/>
      <c r="N2" s="13"/>
      <c r="R2" s="4"/>
      <c r="U2" s="10"/>
      <c r="V2" s="11"/>
      <c r="X2" s="11"/>
      <c r="Y2" s="12"/>
    </row>
    <row r="3" s="1" customFormat="1" ht="15" customHeight="1" spans="1:25 16377:16384">
      <c r="B3" s="7"/>
      <c r="C3" s="8"/>
      <c r="D3" s="8"/>
      <c r="H3" s="14"/>
      <c r="I3" s="14"/>
      <c r="J3" s="14"/>
      <c r="K3" s="14"/>
      <c r="L3" s="14"/>
      <c r="M3" s="14"/>
      <c r="N3" s="14"/>
      <c r="R3" s="4"/>
      <c r="U3" s="10"/>
      <c r="V3" s="11"/>
      <c r="X3" s="11"/>
      <c r="Y3" s="12"/>
    </row>
    <row r="4" s="1" customFormat="1" ht="29.25" customHeight="1" spans="1:25 16377:16384">
      <c r="B4" s="15" t="s">
        <v>2</v>
      </c>
      <c r="C4" s="16"/>
      <c r="D4" s="16"/>
      <c r="E4" s="17"/>
      <c r="F4" s="17"/>
      <c r="G4" s="17"/>
      <c r="H4" s="16" t="s">
        <v>3</v>
      </c>
      <c r="I4" s="16"/>
      <c r="J4" s="16"/>
      <c r="K4" s="16"/>
      <c r="L4" s="18" t="s">
        <v>4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9"/>
      <c r="X4" s="11"/>
      <c r="Y4" s="12"/>
    </row>
    <row r="5" s="2" customFormat="1" ht="35.25" customHeight="1" spans="1:25 16377:16384">
      <c r="A5" s="20" t="s">
        <v>5</v>
      </c>
      <c r="B5" s="21" t="s">
        <v>6</v>
      </c>
      <c r="C5" s="21">
        <v>100</v>
      </c>
      <c r="D5" s="21">
        <v>110</v>
      </c>
      <c r="E5" s="21">
        <v>120</v>
      </c>
      <c r="F5" s="21">
        <v>130</v>
      </c>
      <c r="G5" s="21">
        <v>140</v>
      </c>
      <c r="H5" s="21">
        <v>150</v>
      </c>
      <c r="I5" s="21">
        <v>160</v>
      </c>
      <c r="J5" s="21">
        <v>165</v>
      </c>
      <c r="K5" s="21">
        <v>170</v>
      </c>
      <c r="L5" s="21">
        <v>175</v>
      </c>
      <c r="M5" s="22">
        <v>180</v>
      </c>
      <c r="N5" s="21">
        <v>190</v>
      </c>
      <c r="O5" s="23" t="s">
        <v>7</v>
      </c>
      <c r="P5" s="22" t="s">
        <v>8</v>
      </c>
      <c r="Q5" s="22" t="s">
        <v>9</v>
      </c>
      <c r="R5" s="22" t="s">
        <v>10</v>
      </c>
      <c r="S5" s="22" t="s">
        <v>11</v>
      </c>
      <c r="T5" s="22" t="s">
        <v>12</v>
      </c>
      <c r="U5" s="24" t="s">
        <v>13</v>
      </c>
      <c r="V5" s="25" t="s">
        <v>14</v>
      </c>
      <c r="W5" s="24" t="s">
        <v>15</v>
      </c>
      <c r="X5" s="24" t="s">
        <v>16</v>
      </c>
      <c r="Y5" s="26" t="s">
        <v>17</v>
      </c>
      <c r="XEW5" s="20"/>
      <c r="XEX5" s="20"/>
      <c r="XEY5" s="20"/>
      <c r="XEZ5" s="20"/>
      <c r="XFA5" s="20"/>
      <c r="XFB5" s="20"/>
      <c r="XFC5" s="20"/>
      <c r="XFD5" s="20"/>
    </row>
    <row r="6" s="2" customFormat="1" ht="23" customHeight="1" spans="1:25 16377:16384">
      <c r="A6" s="20" t="str">
        <f>$A$5&amp;B6</f>
        <v>KTCIB4NR00001</v>
      </c>
      <c r="B6" s="27" t="s">
        <v>18</v>
      </c>
      <c r="C6" s="28">
        <v>1</v>
      </c>
      <c r="D6" s="29"/>
      <c r="E6" s="30"/>
      <c r="F6" s="30"/>
      <c r="G6" s="30"/>
      <c r="H6" s="31"/>
      <c r="I6" s="31"/>
      <c r="J6" s="31"/>
      <c r="K6" s="31"/>
      <c r="L6" s="30"/>
      <c r="M6" s="30"/>
      <c r="N6" s="30"/>
      <c r="O6" s="32"/>
      <c r="P6" s="33"/>
      <c r="Q6" s="33"/>
      <c r="R6" s="33"/>
      <c r="S6" s="27"/>
      <c r="T6" s="27">
        <f>SUM(C6:S6)</f>
        <v>1</v>
      </c>
      <c r="U6" s="34" t="s">
        <v>19</v>
      </c>
      <c r="V6" s="35">
        <v>140</v>
      </c>
      <c r="W6" s="34" t="s">
        <v>20</v>
      </c>
      <c r="X6" s="36">
        <f>V6*0.44</f>
        <v>61.6</v>
      </c>
      <c r="Y6" s="36">
        <f>X6*T6</f>
        <v>61.6</v>
      </c>
      <c r="XEW6" s="20"/>
      <c r="XEX6" s="20"/>
      <c r="XEY6" s="20"/>
      <c r="XEZ6" s="20"/>
      <c r="XFA6" s="20"/>
      <c r="XFB6" s="20"/>
      <c r="XFC6" s="20"/>
      <c r="XFD6" s="20"/>
    </row>
    <row r="7" s="2" customFormat="1" ht="23" customHeight="1" spans="1:25 16377:16384">
      <c r="A7" s="20" t="str">
        <f>$A$5&amp;B7</f>
        <v>K16Y0010000X</v>
      </c>
      <c r="B7" s="37" t="s">
        <v>21</v>
      </c>
      <c r="C7" s="38"/>
      <c r="D7" s="38"/>
      <c r="E7" s="39"/>
      <c r="F7" s="39"/>
      <c r="G7" s="39">
        <v>1</v>
      </c>
      <c r="H7" s="39"/>
      <c r="I7" s="39"/>
      <c r="J7" s="39"/>
      <c r="K7" s="39"/>
      <c r="L7" s="39"/>
      <c r="M7" s="40"/>
      <c r="N7" s="39"/>
      <c r="O7" s="41"/>
      <c r="P7" s="42"/>
      <c r="Q7" s="42"/>
      <c r="R7" s="42"/>
      <c r="S7" s="37"/>
      <c r="T7" s="37">
        <f>SUM(C7:S7)</f>
        <v>1</v>
      </c>
      <c r="U7" s="43" t="s">
        <v>19</v>
      </c>
      <c r="V7" s="44">
        <v>166</v>
      </c>
      <c r="W7" s="43" t="s">
        <v>22</v>
      </c>
      <c r="X7" s="45">
        <f>V7*0.328</f>
        <v>54.448</v>
      </c>
      <c r="Y7" s="45">
        <v>54.45</v>
      </c>
      <c r="Z7" s="2"/>
      <c r="XEW7" s="20"/>
      <c r="XEX7" s="20"/>
      <c r="XEY7" s="20"/>
      <c r="XEZ7" s="20"/>
      <c r="XFA7" s="20"/>
      <c r="XFB7" s="20"/>
      <c r="XFC7" s="20"/>
      <c r="XFD7" s="20"/>
    </row>
    <row r="8" s="2" customFormat="1" ht="23" customHeight="1" spans="1:25 16377:16384">
      <c r="A8" s="20" t="str">
        <f>$A$5&amp;B8</f>
        <v>K24Y0310000X</v>
      </c>
      <c r="B8" s="37" t="s">
        <v>23</v>
      </c>
      <c r="C8" s="38"/>
      <c r="D8" s="38"/>
      <c r="E8" s="39"/>
      <c r="F8" s="39"/>
      <c r="G8" s="39"/>
      <c r="H8" s="40"/>
      <c r="I8" s="40">
        <v>1</v>
      </c>
      <c r="J8" s="40"/>
      <c r="K8" s="40"/>
      <c r="L8" s="40"/>
      <c r="M8" s="40"/>
      <c r="N8" s="39"/>
      <c r="O8" s="41"/>
      <c r="P8" s="42"/>
      <c r="Q8" s="42"/>
      <c r="R8" s="42"/>
      <c r="S8" s="37"/>
      <c r="T8" s="37">
        <f>SUM(C8:S8)</f>
        <v>1</v>
      </c>
      <c r="U8" s="43" t="s">
        <v>19</v>
      </c>
      <c r="V8" s="44">
        <v>180</v>
      </c>
      <c r="W8" s="43" t="s">
        <v>22</v>
      </c>
      <c r="X8" s="45">
        <f>V8*0.328</f>
        <v>59.04</v>
      </c>
      <c r="Y8" s="45">
        <v>59.04</v>
      </c>
      <c r="Z8" s="2"/>
      <c r="XEW8" s="20"/>
      <c r="XEX8" s="20"/>
      <c r="XEY8" s="20"/>
      <c r="XEZ8" s="20"/>
      <c r="XFA8" s="20"/>
      <c r="XFB8" s="20"/>
      <c r="XFC8" s="20"/>
      <c r="XFD8" s="20"/>
    </row>
    <row r="9" s="2" customFormat="1" ht="23" customHeight="1" spans="1:25 16377:16384">
      <c r="A9" s="20" t="str">
        <f>$A$5&amp;B9</f>
        <v>K16Y0800000X</v>
      </c>
      <c r="B9" s="37" t="s">
        <v>24</v>
      </c>
      <c r="C9" s="38"/>
      <c r="D9" s="38"/>
      <c r="E9" s="39"/>
      <c r="F9" s="39"/>
      <c r="G9" s="39">
        <v>1</v>
      </c>
      <c r="H9" s="40"/>
      <c r="I9" s="39"/>
      <c r="J9" s="39"/>
      <c r="K9" s="40"/>
      <c r="L9" s="40"/>
      <c r="M9" s="40"/>
      <c r="N9" s="39"/>
      <c r="O9" s="41"/>
      <c r="P9" s="42"/>
      <c r="Q9" s="42"/>
      <c r="R9" s="42"/>
      <c r="S9" s="37"/>
      <c r="T9" s="37">
        <f>SUM(C9:S9)</f>
        <v>1</v>
      </c>
      <c r="U9" s="43" t="s">
        <v>19</v>
      </c>
      <c r="V9" s="44">
        <v>180</v>
      </c>
      <c r="W9" s="43" t="s">
        <v>22</v>
      </c>
      <c r="X9" s="45">
        <f>V9*0.328</f>
        <v>59.04</v>
      </c>
      <c r="Y9" s="45">
        <v>59.04</v>
      </c>
      <c r="Z9" s="2"/>
      <c r="XEW9" s="20"/>
      <c r="XEX9" s="20"/>
      <c r="XEY9" s="20"/>
      <c r="XEZ9" s="20"/>
      <c r="XFA9" s="20"/>
      <c r="XFB9" s="20"/>
      <c r="XFC9" s="20"/>
      <c r="XFD9" s="20"/>
    </row>
    <row r="10" s="2" customFormat="1" ht="23" customHeight="1" spans="1:25 16377:16384">
      <c r="A10" s="20" t="str">
        <f>$A$5&amp;B10</f>
        <v>K15Y0870000X</v>
      </c>
      <c r="B10" s="37" t="s">
        <v>25</v>
      </c>
      <c r="C10" s="38"/>
      <c r="D10" s="38"/>
      <c r="E10" s="39"/>
      <c r="F10" s="39"/>
      <c r="G10" s="39"/>
      <c r="H10" s="39"/>
      <c r="I10" s="39"/>
      <c r="J10" s="39"/>
      <c r="K10" s="39"/>
      <c r="L10" s="39">
        <v>2</v>
      </c>
      <c r="M10" s="39"/>
      <c r="N10" s="39"/>
      <c r="O10" s="41"/>
      <c r="P10" s="42"/>
      <c r="Q10" s="42"/>
      <c r="R10" s="42"/>
      <c r="S10" s="37"/>
      <c r="T10" s="37">
        <f>SUM(C10:S10)</f>
        <v>2</v>
      </c>
      <c r="U10" s="43" t="s">
        <v>19</v>
      </c>
      <c r="V10" s="44">
        <v>180</v>
      </c>
      <c r="W10" s="43" t="s">
        <v>26</v>
      </c>
      <c r="X10" s="45">
        <f>V10*0.328</f>
        <v>59.04</v>
      </c>
      <c r="Y10" s="45">
        <v>118.08</v>
      </c>
      <c r="Z10" s="2"/>
      <c r="XEW10" s="20"/>
      <c r="XEX10" s="20"/>
      <c r="XEY10" s="20"/>
      <c r="XEZ10" s="20"/>
      <c r="XFA10" s="20"/>
      <c r="XFB10" s="20"/>
      <c r="XFC10" s="20"/>
      <c r="XFD10" s="20"/>
    </row>
    <row r="11" s="2" customFormat="1" ht="23" customHeight="1" spans="1:25 16377:16384">
      <c r="A11" s="46" t="s">
        <v>27</v>
      </c>
      <c r="B11" s="46" t="s">
        <v>27</v>
      </c>
      <c r="C11" s="47"/>
      <c r="D11" s="47"/>
      <c r="E11" s="48"/>
      <c r="F11" s="48"/>
      <c r="G11" s="48"/>
      <c r="H11" s="48"/>
      <c r="I11" s="48">
        <v>1</v>
      </c>
      <c r="J11" s="48"/>
      <c r="K11" s="48"/>
      <c r="L11" s="48"/>
      <c r="M11" s="48"/>
      <c r="N11" s="48"/>
      <c r="O11" s="49"/>
      <c r="P11" s="50"/>
      <c r="Q11" s="50"/>
      <c r="R11" s="50"/>
      <c r="S11" s="46"/>
      <c r="T11" s="46">
        <f>SUM(C11:S11)</f>
        <v>1</v>
      </c>
      <c r="U11" s="51" t="s">
        <v>19</v>
      </c>
      <c r="V11" s="52">
        <v>108</v>
      </c>
      <c r="W11" s="51" t="s">
        <v>28</v>
      </c>
      <c r="X11" s="53">
        <f>V11*0.338</f>
        <v>36.504</v>
      </c>
      <c r="Y11" s="53">
        <v>36.504</v>
      </c>
      <c r="Z11" s="2"/>
      <c r="XEW11" s="20"/>
      <c r="XEX11" s="20"/>
      <c r="XEY11" s="20"/>
      <c r="XEZ11" s="20"/>
      <c r="XFA11" s="20"/>
      <c r="XFB11" s="20"/>
      <c r="XFC11" s="20"/>
      <c r="XFD11" s="20"/>
    </row>
    <row r="12" s="2" customFormat="1" ht="23" customHeight="1" spans="1:25 16377:16384">
      <c r="A12" s="20" t="str">
        <f t="shared" ref="A12:A26" si="0">$A$5&amp;B12</f>
        <v>K10C10100000</v>
      </c>
      <c r="B12" s="46" t="s">
        <v>29</v>
      </c>
      <c r="C12" s="47"/>
      <c r="D12" s="47"/>
      <c r="E12" s="48"/>
      <c r="F12" s="48"/>
      <c r="G12" s="48"/>
      <c r="H12" s="48"/>
      <c r="I12" s="48"/>
      <c r="J12" s="48"/>
      <c r="K12" s="48"/>
      <c r="L12" s="48"/>
      <c r="M12" s="48">
        <v>2</v>
      </c>
      <c r="N12" s="48"/>
      <c r="O12" s="49"/>
      <c r="P12" s="50"/>
      <c r="Q12" s="50"/>
      <c r="R12" s="50"/>
      <c r="S12" s="46"/>
      <c r="T12" s="46">
        <f t="shared" ref="T12:T26" si="1">SUM(C12:S12)</f>
        <v>2</v>
      </c>
      <c r="U12" s="51" t="s">
        <v>19</v>
      </c>
      <c r="V12" s="52">
        <v>122</v>
      </c>
      <c r="W12" s="51" t="s">
        <v>30</v>
      </c>
      <c r="X12" s="53">
        <f t="shared" ref="X12:X26" si="2">V12*0.338</f>
        <v>41.236</v>
      </c>
      <c r="Y12" s="53">
        <v>82.474</v>
      </c>
      <c r="Z12" s="2"/>
      <c r="XEW12" s="20"/>
      <c r="XEX12" s="20"/>
      <c r="XEY12" s="20"/>
      <c r="XEZ12" s="20"/>
      <c r="XFA12" s="20"/>
      <c r="XFB12" s="20"/>
      <c r="XFC12" s="20"/>
      <c r="XFD12" s="20"/>
    </row>
    <row r="13" s="2" customFormat="1" ht="23" customHeight="1" spans="1:25 16377:16384">
      <c r="A13" s="20" t="str">
        <f t="shared" si="0"/>
        <v>K16K10500000</v>
      </c>
      <c r="B13" s="46" t="s">
        <v>31</v>
      </c>
      <c r="C13" s="47"/>
      <c r="D13" s="47"/>
      <c r="E13" s="48"/>
      <c r="F13" s="48"/>
      <c r="G13" s="48"/>
      <c r="H13" s="48"/>
      <c r="I13" s="48"/>
      <c r="J13" s="48"/>
      <c r="K13" s="48"/>
      <c r="L13" s="48"/>
      <c r="M13" s="48">
        <v>2</v>
      </c>
      <c r="N13" s="48"/>
      <c r="O13" s="49"/>
      <c r="P13" s="50"/>
      <c r="Q13" s="50"/>
      <c r="R13" s="50"/>
      <c r="S13" s="46"/>
      <c r="T13" s="46">
        <f t="shared" si="1"/>
        <v>2</v>
      </c>
      <c r="U13" s="51" t="s">
        <v>19</v>
      </c>
      <c r="V13" s="52">
        <v>176</v>
      </c>
      <c r="W13" s="51" t="s">
        <v>30</v>
      </c>
      <c r="X13" s="53">
        <f t="shared" si="2"/>
        <v>59.488</v>
      </c>
      <c r="Y13" s="53">
        <v>118.976</v>
      </c>
      <c r="Z13" s="2"/>
      <c r="XEW13" s="20"/>
      <c r="XEX13" s="20"/>
      <c r="XEY13" s="20"/>
      <c r="XEZ13" s="20"/>
      <c r="XFA13" s="20"/>
      <c r="XFB13" s="20"/>
      <c r="XFC13" s="20"/>
      <c r="XFD13" s="20"/>
    </row>
    <row r="14" s="2" customFormat="1" ht="23" customHeight="1" spans="1:25 16377:16384">
      <c r="A14" s="20" t="str">
        <f t="shared" si="0"/>
        <v>K12C00100000</v>
      </c>
      <c r="B14" s="46" t="s">
        <v>32</v>
      </c>
      <c r="C14" s="47"/>
      <c r="D14" s="47"/>
      <c r="E14" s="48"/>
      <c r="F14" s="48"/>
      <c r="G14" s="48"/>
      <c r="H14" s="48"/>
      <c r="I14" s="48"/>
      <c r="J14" s="48"/>
      <c r="K14" s="48">
        <v>6</v>
      </c>
      <c r="L14" s="48"/>
      <c r="M14" s="48"/>
      <c r="N14" s="48"/>
      <c r="O14" s="49"/>
      <c r="P14" s="50"/>
      <c r="Q14" s="50"/>
      <c r="R14" s="50"/>
      <c r="S14" s="46"/>
      <c r="T14" s="46">
        <f t="shared" si="1"/>
        <v>6</v>
      </c>
      <c r="U14" s="51" t="s">
        <v>19</v>
      </c>
      <c r="V14" s="52">
        <v>122</v>
      </c>
      <c r="W14" s="51" t="s">
        <v>26</v>
      </c>
      <c r="X14" s="53">
        <f t="shared" si="2"/>
        <v>41.236</v>
      </c>
      <c r="Y14" s="53">
        <v>247.416</v>
      </c>
      <c r="Z14" s="2"/>
      <c r="XEW14" s="20"/>
      <c r="XEX14" s="20"/>
      <c r="XEY14" s="20"/>
      <c r="XEZ14" s="20"/>
      <c r="XFA14" s="20"/>
      <c r="XFB14" s="20"/>
      <c r="XFC14" s="20"/>
      <c r="XFD14" s="20"/>
    </row>
    <row r="15" s="2" customFormat="1" ht="23" customHeight="1" spans="1:25 16377:16384">
      <c r="A15" s="20" t="str">
        <f t="shared" si="0"/>
        <v>K14Q20500000</v>
      </c>
      <c r="B15" s="46" t="s">
        <v>33</v>
      </c>
      <c r="C15" s="47"/>
      <c r="D15" s="47"/>
      <c r="E15" s="48"/>
      <c r="F15" s="48"/>
      <c r="G15" s="48"/>
      <c r="H15" s="48">
        <v>10</v>
      </c>
      <c r="I15" s="48">
        <v>10</v>
      </c>
      <c r="J15" s="48"/>
      <c r="K15" s="48"/>
      <c r="L15" s="48"/>
      <c r="M15" s="48"/>
      <c r="N15" s="48"/>
      <c r="O15" s="49"/>
      <c r="P15" s="50"/>
      <c r="Q15" s="50"/>
      <c r="R15" s="50"/>
      <c r="S15" s="46"/>
      <c r="T15" s="46">
        <f t="shared" si="1"/>
        <v>20</v>
      </c>
      <c r="U15" s="51" t="s">
        <v>19</v>
      </c>
      <c r="V15" s="52">
        <v>176</v>
      </c>
      <c r="W15" s="51" t="s">
        <v>26</v>
      </c>
      <c r="X15" s="53">
        <f t="shared" si="2"/>
        <v>59.488</v>
      </c>
      <c r="Y15" s="53">
        <v>1189.76</v>
      </c>
      <c r="Z15" s="2"/>
      <c r="XEW15" s="20"/>
      <c r="XEX15" s="20"/>
      <c r="XEY15" s="20"/>
      <c r="XEZ15" s="20"/>
      <c r="XFA15" s="20"/>
      <c r="XFB15" s="20"/>
      <c r="XFC15" s="20"/>
      <c r="XFD15" s="20"/>
    </row>
    <row r="16" s="2" customFormat="1" ht="23" customHeight="1" spans="1:25 16377:16384">
      <c r="A16" s="20" t="str">
        <f t="shared" si="0"/>
        <v>K25C20100000</v>
      </c>
      <c r="B16" s="46" t="s">
        <v>34</v>
      </c>
      <c r="C16" s="47"/>
      <c r="D16" s="47"/>
      <c r="E16" s="48"/>
      <c r="F16" s="48"/>
      <c r="G16" s="48">
        <v>10</v>
      </c>
      <c r="H16" s="48"/>
      <c r="I16" s="48"/>
      <c r="J16" s="48"/>
      <c r="K16" s="48"/>
      <c r="L16" s="48"/>
      <c r="M16" s="48"/>
      <c r="N16" s="48"/>
      <c r="O16" s="49"/>
      <c r="P16" s="50"/>
      <c r="Q16" s="50"/>
      <c r="R16" s="50"/>
      <c r="S16" s="46"/>
      <c r="T16" s="46">
        <f t="shared" si="1"/>
        <v>10</v>
      </c>
      <c r="U16" s="51" t="s">
        <v>19</v>
      </c>
      <c r="V16" s="52">
        <v>122</v>
      </c>
      <c r="W16" s="51" t="s">
        <v>26</v>
      </c>
      <c r="X16" s="53">
        <f t="shared" si="2"/>
        <v>41.236</v>
      </c>
      <c r="Y16" s="53">
        <v>412.36</v>
      </c>
      <c r="Z16" s="2"/>
      <c r="XEW16" s="20"/>
      <c r="XEX16" s="20"/>
      <c r="XEY16" s="20"/>
      <c r="XEZ16" s="20"/>
      <c r="XFA16" s="20"/>
      <c r="XFB16" s="20"/>
      <c r="XFC16" s="20"/>
      <c r="XFD16" s="20"/>
    </row>
    <row r="17" s="2" customFormat="1" ht="23" customHeight="1" spans="1:26 16377:16384">
      <c r="A17" s="20" t="str">
        <f t="shared" si="0"/>
        <v>K12C11600000</v>
      </c>
      <c r="B17" s="46" t="s">
        <v>35</v>
      </c>
      <c r="C17" s="47"/>
      <c r="D17" s="47"/>
      <c r="E17" s="48"/>
      <c r="F17" s="48"/>
      <c r="G17" s="48">
        <v>10</v>
      </c>
      <c r="H17" s="48">
        <v>10</v>
      </c>
      <c r="I17" s="48"/>
      <c r="J17" s="48"/>
      <c r="K17" s="48"/>
      <c r="L17" s="48"/>
      <c r="M17" s="48"/>
      <c r="N17" s="48"/>
      <c r="O17" s="49"/>
      <c r="P17" s="50"/>
      <c r="Q17" s="50"/>
      <c r="R17" s="50"/>
      <c r="S17" s="46"/>
      <c r="T17" s="46">
        <f t="shared" si="1"/>
        <v>20</v>
      </c>
      <c r="U17" s="51" t="s">
        <v>19</v>
      </c>
      <c r="V17" s="52">
        <v>140</v>
      </c>
      <c r="W17" s="51" t="s">
        <v>26</v>
      </c>
      <c r="X17" s="53">
        <f t="shared" si="2"/>
        <v>47.32</v>
      </c>
      <c r="Y17" s="53">
        <v>946.4</v>
      </c>
      <c r="Z17" s="2"/>
      <c r="XEW17" s="20"/>
      <c r="XEX17" s="20"/>
      <c r="XEY17" s="20"/>
      <c r="XEZ17" s="20"/>
      <c r="XFA17" s="20"/>
      <c r="XFB17" s="20"/>
      <c r="XFC17" s="20"/>
      <c r="XFD17" s="20"/>
    </row>
    <row r="18" s="2" customFormat="1" ht="23" customHeight="1" spans="1:26 16377:16384">
      <c r="A18" s="20" t="str">
        <f t="shared" si="0"/>
        <v>K15C10100000</v>
      </c>
      <c r="B18" s="46" t="s">
        <v>36</v>
      </c>
      <c r="C18" s="47"/>
      <c r="D18" s="47"/>
      <c r="E18" s="48"/>
      <c r="F18" s="48">
        <v>5</v>
      </c>
      <c r="G18" s="48"/>
      <c r="H18" s="48"/>
      <c r="I18" s="48"/>
      <c r="J18" s="48"/>
      <c r="K18" s="48"/>
      <c r="L18" s="48"/>
      <c r="M18" s="48"/>
      <c r="N18" s="48"/>
      <c r="O18" s="49"/>
      <c r="P18" s="50"/>
      <c r="Q18" s="50"/>
      <c r="R18" s="50"/>
      <c r="S18" s="46"/>
      <c r="T18" s="46">
        <f t="shared" si="1"/>
        <v>5</v>
      </c>
      <c r="U18" s="51" t="s">
        <v>19</v>
      </c>
      <c r="V18" s="52">
        <v>122</v>
      </c>
      <c r="W18" s="51" t="s">
        <v>26</v>
      </c>
      <c r="X18" s="53">
        <f t="shared" si="2"/>
        <v>41.236</v>
      </c>
      <c r="Y18" s="53">
        <v>206.18</v>
      </c>
      <c r="Z18" s="2"/>
      <c r="XEW18" s="20"/>
      <c r="XEX18" s="20"/>
      <c r="XEY18" s="20"/>
      <c r="XEZ18" s="20"/>
      <c r="XFA18" s="20"/>
      <c r="XFB18" s="20"/>
      <c r="XFC18" s="20"/>
      <c r="XFD18" s="20"/>
    </row>
    <row r="19" s="2" customFormat="1" ht="23" customHeight="1" spans="1:26 16377:16384">
      <c r="A19" s="20" t="str">
        <f t="shared" si="0"/>
        <v>K15K15900000</v>
      </c>
      <c r="B19" s="46" t="s">
        <v>37</v>
      </c>
      <c r="C19" s="47"/>
      <c r="D19" s="47"/>
      <c r="E19" s="48"/>
      <c r="F19" s="48">
        <v>5</v>
      </c>
      <c r="G19" s="48">
        <v>5</v>
      </c>
      <c r="H19" s="48"/>
      <c r="I19" s="48"/>
      <c r="J19" s="48"/>
      <c r="K19" s="48"/>
      <c r="L19" s="48"/>
      <c r="M19" s="48"/>
      <c r="N19" s="48"/>
      <c r="O19" s="49"/>
      <c r="P19" s="50"/>
      <c r="Q19" s="50"/>
      <c r="R19" s="50"/>
      <c r="S19" s="46"/>
      <c r="T19" s="46">
        <f t="shared" si="1"/>
        <v>10</v>
      </c>
      <c r="U19" s="51" t="s">
        <v>19</v>
      </c>
      <c r="V19" s="52">
        <v>232</v>
      </c>
      <c r="W19" s="51" t="s">
        <v>26</v>
      </c>
      <c r="X19" s="53">
        <f t="shared" si="2"/>
        <v>78.416</v>
      </c>
      <c r="Y19" s="53">
        <v>784.16</v>
      </c>
      <c r="Z19" s="2"/>
      <c r="XEW19" s="20"/>
      <c r="XEX19" s="20"/>
      <c r="XEY19" s="20"/>
      <c r="XEZ19" s="20"/>
      <c r="XFA19" s="20"/>
      <c r="XFB19" s="20"/>
      <c r="XFC19" s="20"/>
      <c r="XFD19" s="20"/>
    </row>
    <row r="20" s="2" customFormat="1" ht="23" customHeight="1" spans="1:26 16377:16384">
      <c r="A20" s="20" t="str">
        <f t="shared" si="0"/>
        <v>K15Z10200000</v>
      </c>
      <c r="B20" s="46" t="s">
        <v>38</v>
      </c>
      <c r="C20" s="47"/>
      <c r="D20" s="47"/>
      <c r="E20" s="48"/>
      <c r="F20" s="48"/>
      <c r="G20" s="48">
        <v>5</v>
      </c>
      <c r="H20" s="48"/>
      <c r="I20" s="48"/>
      <c r="J20" s="48"/>
      <c r="K20" s="48"/>
      <c r="L20" s="48"/>
      <c r="M20" s="48"/>
      <c r="N20" s="48"/>
      <c r="O20" s="49"/>
      <c r="P20" s="50"/>
      <c r="Q20" s="50"/>
      <c r="R20" s="50"/>
      <c r="S20" s="46"/>
      <c r="T20" s="46">
        <f t="shared" si="1"/>
        <v>5</v>
      </c>
      <c r="U20" s="51" t="s">
        <v>19</v>
      </c>
      <c r="V20" s="52">
        <v>392</v>
      </c>
      <c r="W20" s="51" t="s">
        <v>26</v>
      </c>
      <c r="X20" s="53">
        <f t="shared" si="2"/>
        <v>132.496</v>
      </c>
      <c r="Y20" s="53">
        <v>662.48</v>
      </c>
      <c r="Z20" s="2"/>
      <c r="XEW20" s="20"/>
      <c r="XEX20" s="20"/>
      <c r="XEY20" s="20"/>
      <c r="XEZ20" s="20"/>
      <c r="XFA20" s="20"/>
      <c r="XFB20" s="20"/>
      <c r="XFC20" s="20"/>
      <c r="XFD20" s="20"/>
    </row>
    <row r="21" s="2" customFormat="1" ht="30.75" customHeight="1" spans="1:26 16377:16384">
      <c r="A21" s="20" t="str">
        <f t="shared" ref="A21" si="3">$A$5&amp;B21</f>
        <v>K</v>
      </c>
      <c r="B21" s="54"/>
      <c r="C21" s="47" t="s">
        <v>12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50">
        <f>SUM(T6:T20)</f>
        <v>87</v>
      </c>
      <c r="U21" s="51"/>
      <c r="V21" s="55"/>
      <c r="W21" s="56"/>
      <c r="X21" s="53"/>
      <c r="Y21" s="57">
        <f>SUM(Y6:Y20)</f>
        <v>5038.92</v>
      </c>
      <c r="XEW21" s="20"/>
      <c r="XEX21" s="20"/>
      <c r="XEY21" s="20"/>
      <c r="XEZ21" s="20"/>
      <c r="XFA21" s="20"/>
      <c r="XFB21" s="20"/>
      <c r="XFC21" s="20"/>
      <c r="XFD21" s="20"/>
    </row>
    <row r="22" s="1" customFormat="1" ht="15.6" spans="1:26 16377:16384">
      <c r="B22" s="58" t="s">
        <v>39</v>
      </c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P22" s="60"/>
      <c r="R22" s="4"/>
      <c r="U22" s="10"/>
      <c r="V22" s="11"/>
      <c r="X22" s="11"/>
      <c r="Y22" s="12"/>
      <c r="Z22" s="2"/>
    </row>
    <row r="23" s="1" customFormat="1" spans="1:26 16377:16384">
      <c r="B23" s="61"/>
      <c r="C23" s="62"/>
      <c r="D23" s="62"/>
      <c r="E23" s="61"/>
      <c r="F23" s="61"/>
      <c r="G23" s="61"/>
      <c r="H23" s="61"/>
      <c r="I23" s="61"/>
      <c r="J23" s="62"/>
      <c r="K23" s="62"/>
      <c r="L23" s="62"/>
      <c r="M23" s="62"/>
      <c r="N23" s="62"/>
      <c r="P23" s="60"/>
      <c r="R23" s="4"/>
      <c r="U23" s="10"/>
      <c r="V23" s="11"/>
      <c r="X23" s="63"/>
      <c r="Y23" s="12"/>
    </row>
    <row r="24" s="1" customFormat="1" ht="15.6" spans="1:26 16377:16384">
      <c r="B24" s="58" t="s">
        <v>40</v>
      </c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P24" s="60"/>
      <c r="R24" s="4"/>
      <c r="U24" s="10"/>
      <c r="V24" s="11"/>
      <c r="X24" s="11"/>
      <c r="Y24" s="12"/>
    </row>
    <row r="25" s="1" customFormat="1" ht="15.6" spans="1:26 16377:16384">
      <c r="B25" s="58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P25" s="60"/>
      <c r="R25" s="4"/>
      <c r="U25" s="10"/>
      <c r="V25" s="11"/>
      <c r="X25" s="11"/>
      <c r="Y25" s="12"/>
    </row>
    <row r="26" s="1" customFormat="1" ht="24.75" customHeight="1" spans="1:26 16377:16384">
      <c r="B26" s="64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65"/>
      <c r="P26" s="65"/>
      <c r="R26" s="4"/>
      <c r="U26" s="10"/>
      <c r="V26" s="11"/>
      <c r="X26" s="11"/>
      <c r="Y26" s="12"/>
    </row>
    <row r="27" s="1" customFormat="1" ht="21.75" customHeight="1" spans="1:26 16377:16384">
      <c r="B27" s="66" t="s">
        <v>41</v>
      </c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P27" s="60"/>
      <c r="R27" s="4"/>
      <c r="U27" s="10"/>
      <c r="V27" s="11"/>
      <c r="X27" s="11"/>
      <c r="Y27" s="12"/>
    </row>
    <row r="29" ht="15.6" spans="1:26 16377:16384">
      <c r="B29" s="66" t="s">
        <v>42</v>
      </c>
    </row>
  </sheetData>
  <mergeCells count="2">
    <mergeCell ref="C21:S21"/>
    <mergeCell ref="E23:H23"/>
  </mergeCells>
  <pageMargins left="0.15748031496063" right="0.708661417322835" top="0.15748031496063" bottom="0.393700787401575" header="0.118110236220472" footer="0.118110236220472"/>
  <pageSetup paperSize="9" scale="70" orientation="landscape" horizontalDpi="2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绵阳办事处出库单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叶清梅</cp:lastModifiedBy>
  <dcterms:created xsi:type="dcterms:W3CDTF">2006-09-13T11:21:00Z</dcterms:created>
  <cp:lastPrinted>2024-07-31T03:39:00Z</cp:lastPrinted>
  <dcterms:modified xsi:type="dcterms:W3CDTF">2026-06-10T06:46:12Z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B9EF723EB3FF41EDB0943A50DCE3AAA1</vt:lpwstr>
  </property>
  <property fmtid="{D5CDD505-2E9C-101B-9397-08002B2CF9AE}" pid="4" name="CalculationRule">
    <vt:i4>0</vt:i4>
  </property>
</Properties>
</file>